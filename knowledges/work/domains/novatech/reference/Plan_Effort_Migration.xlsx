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alithyaca.sharepoint.com/sites/Servicesfinanciers/Clients/BNC/Sales/Proposal/Modernisation Applis BNC/Modernisation CDBAC/Solution/"/>
    </mc:Choice>
  </mc:AlternateContent>
  <xr:revisionPtr revIDLastSave="246" documentId="13_ncr:2001_{C8E3DAD3-701E-44C4-99B4-E8B61256B58B}" xr6:coauthVersionLast="47" xr6:coauthVersionMax="47" xr10:uidLastSave="{2A2DBFB9-049C-4479-8A8D-C2BDB6C3EA67}"/>
  <bookViews>
    <workbookView minimized="1" xWindow="0" yWindow="0" windowWidth="20715" windowHeight="10650" firstSheet="2" activeTab="3" xr2:uid="{204483C9-0893-4EF4-99D7-8A8711B38D6D}"/>
  </bookViews>
  <sheets>
    <sheet name="Option-1-Lift-and-Shift " sheetId="2" r:id="rId1"/>
    <sheet name="Option-2-Modernisation " sheetId="3" r:id="rId2"/>
    <sheet name="Plan de charge - L&amp;S" sheetId="4" r:id="rId3"/>
    <sheet name="Plan de charge - modernisation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4" l="1"/>
  <c r="M6" i="4"/>
  <c r="M7" i="4"/>
  <c r="M5" i="4"/>
  <c r="L8" i="4"/>
  <c r="Q9" i="5"/>
  <c r="P6" i="5"/>
  <c r="P7" i="5"/>
  <c r="P8" i="5"/>
  <c r="P5" i="5"/>
  <c r="P9" i="5"/>
  <c r="N9" i="5"/>
  <c r="O9" i="5"/>
  <c r="L9" i="5"/>
  <c r="M9" i="5"/>
  <c r="Q6" i="5"/>
  <c r="Q7" i="5"/>
  <c r="Q8" i="5"/>
  <c r="Q5" i="5"/>
  <c r="D9" i="5"/>
  <c r="E9" i="5"/>
  <c r="F9" i="5"/>
  <c r="G9" i="5"/>
  <c r="H9" i="5"/>
  <c r="I9" i="5"/>
  <c r="J9" i="5"/>
  <c r="K9" i="5"/>
  <c r="C9" i="5"/>
  <c r="T5" i="5" l="1"/>
  <c r="Q10" i="5" l="1"/>
  <c r="Q11" i="5" s="1"/>
  <c r="Q12" i="5" s="1"/>
  <c r="N7" i="4" l="1"/>
  <c r="K8" i="4"/>
  <c r="C8" i="4"/>
  <c r="J8" i="4"/>
  <c r="I8" i="4"/>
  <c r="H8" i="4"/>
  <c r="G8" i="4"/>
  <c r="F8" i="4"/>
  <c r="E8" i="4"/>
  <c r="D8" i="4"/>
  <c r="N5" i="4" l="1"/>
  <c r="N6" i="4"/>
  <c r="M8" i="4"/>
  <c r="Q5" i="4" s="1"/>
  <c r="C97" i="3" l="1"/>
  <c r="C48" i="2"/>
  <c r="N9" i="4" l="1"/>
  <c r="N10" i="4" s="1"/>
  <c r="N11" i="4" s="1"/>
</calcChain>
</file>

<file path=xl/sharedStrings.xml><?xml version="1.0" encoding="utf-8"?>
<sst xmlns="http://schemas.openxmlformats.org/spreadsheetml/2006/main" count="260" uniqueCount="191">
  <si>
    <t>Phase</t>
  </si>
  <si>
    <t>Effort (J)</t>
  </si>
  <si>
    <t>Activités Détaillées</t>
  </si>
  <si>
    <t>Phase 1 : Analyse et Préparation</t>
  </si>
  <si>
    <t>• Inventaire détaillé des dépendances UNIX AIX dans les scripts Kornshell (~150 scripts)</t>
  </si>
  <si>
    <t>• Identification des fonctionnalités spécifiques à AIX et Évaluation des adaptations requises pour Linux cible</t>
  </si>
  <si>
    <t>• Analyse volumétrie CDBAC</t>
  </si>
  <si>
    <t>• Documentation architecture actuelle et cible</t>
  </si>
  <si>
    <t>Phase 2 : Infrastructure AWS</t>
  </si>
  <si>
    <t>• Création/Accostage de l'infrastructure viaTerraform : VPC, sous-réseaux privés, groupes sécurité, ACL réseau</t>
  </si>
  <si>
    <t>• Configuration de connectivité AIX on-premises ↔ AWS</t>
  </si>
  <si>
    <t xml:space="preserve">• Provisionnement instances EC2 </t>
  </si>
  <si>
    <t>• Configuration S3 pour stockage fichiers de sauvegarde/bcp</t>
  </si>
  <si>
    <t>• Validation connectivité et tests réseau (latence/bande passante)</t>
  </si>
  <si>
    <t>Phase 3 : Configuration Base de Données et Environnement</t>
  </si>
  <si>
    <t>• Ansible : Installation SAP ASE version 16.0 SP2 sur EC2 Linux</t>
  </si>
  <si>
    <t>• Configuration serveur sauvegarde et composants réplication</t>
  </si>
  <si>
    <t>• Création utilisateurs/groupes système</t>
  </si>
  <si>
    <t>• Configuration environnement runtime SQR avec wrapper approprié</t>
  </si>
  <si>
    <t>• Assurer cohérence versions entre Dev, Test et Prod</t>
  </si>
  <si>
    <t>Phase 4 : Migration Scripts et Programmes</t>
  </si>
  <si>
    <t>• Rehaussement Kornshell 88 vers version récente OU migration complète vers Bash</t>
  </si>
  <si>
    <t>• Adaptation des scripts pour compatibilité Linux (remplacement commandes AIX)</t>
  </si>
  <si>
    <t>• Tests de compatibilité et validation fonctionnelle des scripts</t>
  </si>
  <si>
    <t xml:space="preserve">• Re-ecriture des scripts SQR  en SQL </t>
  </si>
  <si>
    <t xml:space="preserve">• Test et validation des scripts SQL  </t>
  </si>
  <si>
    <t>• Configuration Control-M pour orchestration fichiers quotidiens</t>
  </si>
  <si>
    <t>Phase 5 : Service de Migration DMS</t>
  </si>
  <si>
    <t>• Création d'une instance de  réplication AWS DMS dans VPC</t>
  </si>
  <si>
    <t>• Configuration endpoints source (SAP ASE on-premises)</t>
  </si>
  <si>
    <t>• Configuration endpoints cible (SAP ASE sur EC2)</t>
  </si>
  <si>
    <t>• Tests connexion sécurisée via Direct Connect</t>
  </si>
  <si>
    <t>Phase 6 : Migration Données</t>
  </si>
  <si>
    <t>• Exécution Full Load via AWS DMS (tous objets BD)</t>
  </si>
  <si>
    <t>• Réplication schémas, tables, index, données historiques</t>
  </si>
  <si>
    <t>• Activation CDC (Change Data Capture) pour modifications temps réel</t>
  </si>
  <si>
    <t>• Surveillance et gestion des performances de réplication</t>
  </si>
  <si>
    <t>Phase 7 : Tests et Validation Intégrée</t>
  </si>
  <si>
    <t>• Vérification complétude migration (table par table)</t>
  </si>
  <si>
    <t>• Comparaison volumes source/cible</t>
  </si>
  <si>
    <t>• Tests performance base de données</t>
  </si>
  <si>
    <t>• Validation exécution scripts Kornshell/Bash migrés</t>
  </si>
  <si>
    <t>• Validation programmes SQR recompilés en environnement cible</t>
  </si>
  <si>
    <t>• Tests end-to-end des processus métier</t>
  </si>
  <si>
    <t>• Tests de charge et performance applicative</t>
  </si>
  <si>
    <t>Phase 8 : Basculement et Mise en Production</t>
  </si>
  <si>
    <t>• Mise à jour chaînes connexion applicatives</t>
  </si>
  <si>
    <t>• Basculement applications vers SAP ASE EC2</t>
  </si>
  <si>
    <t>• Validation opérationnelle en production</t>
  </si>
  <si>
    <t>• Support post-basculement</t>
  </si>
  <si>
    <t>Phase 9 : Finalisation et Optimisation</t>
  </si>
  <si>
    <t>• Arrêt/suppression ressources temporaires DMS</t>
  </si>
  <si>
    <t>• Stratégie sauvegarde définitive</t>
  </si>
  <si>
    <t>• Configuration haute disponibilité</t>
  </si>
  <si>
    <t>• Optimisation performance (tuning DB et scripts)</t>
  </si>
  <si>
    <t>• Documentation complète projet et métriques migration</t>
  </si>
  <si>
    <t>• Formation équipes opérationnelles</t>
  </si>
  <si>
    <t>Total</t>
  </si>
  <si>
    <t>Effort(JH)</t>
  </si>
  <si>
    <t>Activités détaillées</t>
  </si>
  <si>
    <t>Phase 1 : Analyse et Conception de la Modernisation</t>
  </si>
  <si>
    <t>• Analyse approfondie des ~150 scripts Kornshell et programmes SQR/SQT pour refactoring/Re-ecriture</t>
  </si>
  <si>
    <t>• Inventaire des 100+ procédures stockées Sybase et mapping vers PostgreSQL/Aurora</t>
  </si>
  <si>
    <t>• Analyse de compatibilité des dépendances Sybase ASE propriétaires</t>
  </si>
  <si>
    <t>• Évaluation des opportunités de modernisation vers architecture serverless/conteneurs</t>
  </si>
  <si>
    <t>• Conception architecture cible cloud-native (services managés AWS)</t>
  </si>
  <si>
    <t>• Documentation des patterns de transformation (batch → event-driven)</t>
  </si>
  <si>
    <t>• Analyse volumétrique et dimensionnement services managés (RDS, Lambda, ECS/Fargate)</t>
  </si>
  <si>
    <t>• Élaboration matrice de traçabilité (ancien → nouveau)</t>
  </si>
  <si>
    <t>Phase 2 : Infrastructure Cloud-Native AWS</t>
  </si>
  <si>
    <t>• Provisionnement infrastructure via Infrastructure as Code (Terraform/CloudFormation)</t>
  </si>
  <si>
    <t>• Configuration VPC, sous-réseaux multi-AZ, groupes sécurité, etc..</t>
  </si>
  <si>
    <t>• Déploiement Amazon RDS pour PostgreSQL (ou Aurora PostgreSQL) multi-AZ avec haute disponibilité</t>
  </si>
  <si>
    <t>• Configuration Amazon S3 avec lifecycle policies et versioning pour stockage fichiers</t>
  </si>
  <si>
    <t>• Mise en place Amazon EFS pour partage fichiers entre services</t>
  </si>
  <si>
    <t>• Configuration Amazon EventBridge pour gestion événements</t>
  </si>
  <si>
    <t>• Intégration AWS Secrets Manager pour gestion credentials</t>
  </si>
  <si>
    <t>• Configuration AWS CloudWatch pour monitoring et alerting avancé</t>
  </si>
  <si>
    <t>• Tests de connectivité et validation architecture</t>
  </si>
  <si>
    <t>Phase 3 : Migration et Transformation Base de Données</t>
  </si>
  <si>
    <t>• Configuration AWS Schema Conversion Tool (SCT)</t>
  </si>
  <si>
    <t>• Analyse automatisée de compatibilité Sybase ASE → PostgreSQL/Aurora</t>
  </si>
  <si>
    <t>• Conversion schémas, tables, index, contraintes</t>
  </si>
  <si>
    <t>• Refactoring des 100+ procédures stockées Sybase vers PostgreSQL :</t>
  </si>
  <si>
    <t>    - Conversion syntaxe T-SQL vers PL/pgSQL</t>
  </si>
  <si>
    <t>    - Réécriture des fonctions propriétaires Sybase</t>
  </si>
  <si>
    <t>    - Optimisation des requêtes pour PostgreSQL</t>
  </si>
  <si>
    <t>    - Tests unitaires des procédures converties</t>
  </si>
  <si>
    <t>• Migration des données historiques via AWS DMS (Full Load)</t>
  </si>
  <si>
    <t>• Configuration Change Data Capture (CDC) si requis</t>
  </si>
  <si>
    <t>• Optimisation performance base de données (indexes, partitioning)</t>
  </si>
  <si>
    <t>• Configuration backups automatisés et point-in-time recovery</t>
  </si>
  <si>
    <t>Phase 4 : Refactoring Applications et Scripts</t>
  </si>
  <si>
    <t>• Transformation des ~150 scripts Kornshell :</t>
  </si>
  <si>
    <t>    - Réécriture en Bash moderne ou SKH93(Dernière version de Kornshell )</t>
  </si>
  <si>
    <t>    - Remplacement dépendances AIX par équivalents Linux/cloud-native</t>
  </si>
  <si>
    <t>• Modernisation des programmes SQR/SQT :</t>
  </si>
  <si>
    <t>    - Analyse faisabilité de remplacement par solutions modernes</t>
  </si>
  <si>
    <t>    - Options : Refactoring Python + pandas, ou AWS Glue ETL, ou container SQR</t>
  </si>
  <si>
    <t>    - Réécriture logique métier en code moderne (si applicable)</t>
  </si>
  <si>
    <t>    - Migration des transformations comptables complexes</t>
  </si>
  <si>
    <t>    - Tests unitaires et validation fonctionnelle</t>
  </si>
  <si>
    <t>• Implémentation des patterns cloud-native :</t>
  </si>
  <si>
    <t>    - Event-driven processing remplaçant batch schedulé</t>
  </si>
  <si>
    <t>    - Intégration avec Amazon SQS/SNS pour messaging asynchrone</t>
  </si>
  <si>
    <t>    - Configuration AWS Systems Manager Parameter Store pour configuration applicative</t>
  </si>
  <si>
    <t>Phase 5 : Orchestration et Automatisation Moderne</t>
  </si>
  <si>
    <t>• Migration des jobs Control-M vers AWS native orchestration :</t>
  </si>
  <si>
    <t>    - Configuration AWS Step Functions pour workflows complexes</t>
  </si>
  <si>
    <t>    - Intégration Amazon EventBridge pour scheduling intelligent</t>
  </si>
  <si>
    <t>    - Mise en place AWS Lambda pour déclenchements événementiels</t>
  </si>
  <si>
    <t>• Implémentation pipeline CI/CD avec AWS CodePipeline :</t>
  </si>
  <si>
    <t>    - AWS CodeCommit/GitHub pour gestion code source</t>
  </si>
  <si>
    <t>    - AWS CodeBuild pour compilation/tests</t>
  </si>
  <si>
    <t>    - AWS CodeDeploy pour déploiements automatisés</t>
  </si>
  <si>
    <t>• Configuration monitoring avancé avec CloudWatch Dashboards et Amazon CloudWatch Insights</t>
  </si>
  <si>
    <t>• Mise en place AWS X-Ray pour tracing distribué</t>
  </si>
  <si>
    <t>Phase 6 : Intégration et Traitement Fichiers Modernisé</t>
  </si>
  <si>
    <t>• Configuration Amazon S3 comme landing zone pour fichiers entrants (~15 fichiers quotidiens)</t>
  </si>
  <si>
    <t>• Mise en place événements S3 triggers vers Lambda/Step Functions</t>
  </si>
  <si>
    <t>• Implémentation traitement automatisé fichiers volumineux (4.5+ GB) :</t>
  </si>
  <si>
    <t>    - Utilisation S3 Select pour requêtes optimisées</t>
  </si>
  <si>
    <t>    - Traitement parallèle avec Lambda concurrency ou ECS tasks</t>
  </si>
  <si>
    <t>    - Compression/décompression automatique</t>
  </si>
  <si>
    <t>• Reconfiguration intégrations MFT pour pointer vers nouveaux endpoints S3/API Gateway</t>
  </si>
  <si>
    <t>• Configuration AWS Transfer Family (SFTP/FTPS) si requis pour compatibilité systèmes sources</t>
  </si>
  <si>
    <t>• Mise en place validation automatique fichiers (schema, checksums)</t>
  </si>
  <si>
    <t>• Configuration archivage intelligent avec S3 Glacier pour rétention long-terme</t>
  </si>
  <si>
    <t>Phase 7 : Tests Intégrés et Validation de Performance</t>
  </si>
  <si>
    <t>• Tests unitaires de tous les composants refactorisés</t>
  </si>
  <si>
    <t>• Tests d'intégration end-to-end des workflows modernisés</t>
  </si>
  <si>
    <t>• Validation fonctionnelle par rapport aux processus métier existants</t>
  </si>
  <si>
    <t>• Tests de comparaison résultats (ancien système vs nouveau) :</t>
  </si>
  <si>
    <t>    - Validation calculs comptables</t>
  </si>
  <si>
    <t>    - Vérification fichiers de sortie</t>
  </si>
  <si>
    <t>    - Comparaison écritures GL générées</t>
  </si>
  <si>
    <t>• Tests de performance et scalabilité :</t>
  </si>
  <si>
    <t>    - Traitement fichiers volumineux (4.5+ GB)</t>
  </si>
  <si>
    <t>    - Tests de charge avec volumes réalistes</t>
  </si>
  <si>
    <t>    - Validation temps de traitement quotidien</t>
  </si>
  <si>
    <t>• Validation monitoring et alerting</t>
  </si>
  <si>
    <t>Phase 8 : Migration Données et Cutover</t>
  </si>
  <si>
    <t>• Planification fenêtre de migration finale</t>
  </si>
  <si>
    <t>• Synchronisation finale des données avec DMS CDC</t>
  </si>
  <si>
    <t>• Validation complétude migration (row counts, data integrity)</t>
  </si>
  <si>
    <t>• Basculement DNS/endpoints vers nouveaux services</t>
  </si>
  <si>
    <t>• Mise à jour configurations systèmes consommateurs (SmartStream, GEAC, DWH, MIDAS)</t>
  </si>
  <si>
    <t>• Redirection flux MFT vers architecture modernisée</t>
  </si>
  <si>
    <t>• Surveillance intensive post-cutover (24-72h)</t>
  </si>
  <si>
    <t>• Support hypercare</t>
  </si>
  <si>
    <t>Phase 9 : Optimisation, Documentation et Transfert de Connaissances</t>
  </si>
  <si>
    <t>• Optimisation coûts AWS (rightsizing, reserved instances, savings plans)</t>
  </si>
  <si>
    <t>• Configuration stratégies backup/restore automatisées</t>
  </si>
  <si>
    <t>• Documentation complète architecture modernisée :</t>
  </si>
  <si>
    <t>    - Diagrammes d'architecture (C4, flux de données)</t>
  </si>
  <si>
    <t>    - Procédures de troubleshooting</t>
  </si>
  <si>
    <t>    - Guide de déploiement CI/CD</t>
  </si>
  <si>
    <t>• Transfert de connaissances aux équipes BNC</t>
  </si>
  <si>
    <t>Phase 10 : Gouvernance et Sécurité Cloud-Native</t>
  </si>
  <si>
    <t>• Mise en place AWS Config pour conformité continue</t>
  </si>
  <si>
    <t>• Configuration AWS CloudTrail pour audit complet</t>
  </si>
  <si>
    <t>• Documentation politiques sécurité et procédures</t>
  </si>
  <si>
    <t>• Revue architecture avec équipes sécurité BNC</t>
  </si>
  <si>
    <t>TOTAL OPTION 2 : MODERNISATION COMPLÈTE</t>
  </si>
  <si>
    <t>Rôle</t>
  </si>
  <si>
    <t>Hourly cost</t>
  </si>
  <si>
    <t>Sem-1</t>
  </si>
  <si>
    <t>Sem-2</t>
  </si>
  <si>
    <t>Sem-3</t>
  </si>
  <si>
    <t>Sem-4</t>
  </si>
  <si>
    <t>Sem-5</t>
  </si>
  <si>
    <t>Sem-6</t>
  </si>
  <si>
    <t>Sem-7</t>
  </si>
  <si>
    <t>Sem-8</t>
  </si>
  <si>
    <t>Sem-9</t>
  </si>
  <si>
    <t>Sem-10</t>
  </si>
  <si>
    <t># Days</t>
  </si>
  <si>
    <t>Coût</t>
  </si>
  <si>
    <t>Directeur de livraison</t>
  </si>
  <si>
    <t>Gestionnaire de projet/Scrum Master</t>
  </si>
  <si>
    <t>Gestion</t>
  </si>
  <si>
    <t>Architecte Cloud / Tech Lead (AWS)</t>
  </si>
  <si>
    <t>Spécialiste DevSecOps/Unix</t>
  </si>
  <si>
    <t>Contingence</t>
  </si>
  <si>
    <t>Sous-total</t>
  </si>
  <si>
    <t>Vendant</t>
  </si>
  <si>
    <t>Phases</t>
  </si>
  <si>
    <t>Sem-11</t>
  </si>
  <si>
    <t>Sem-12</t>
  </si>
  <si>
    <t>Sem-13</t>
  </si>
  <si>
    <t>Dev 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</si>
</sst>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_-&quot;$&quot;* #,##0_-;\-&quot;$&quot;* #,##0_-;_-&quot;$&quot;* &quot;-&quot;??_-;_-@_-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6" borderId="0" xfId="0" applyFill="1"/>
    <xf numFmtId="165" fontId="0" fillId="6" borderId="0" xfId="1" applyNumberFormat="1" applyFont="1" applyFill="1"/>
    <xf numFmtId="17" fontId="0" fillId="6" borderId="0" xfId="0" applyNumberFormat="1" applyFill="1"/>
    <xf numFmtId="164" fontId="0" fillId="6" borderId="0" xfId="1" applyFont="1" applyFill="1"/>
    <xf numFmtId="0" fontId="1" fillId="7" borderId="0" xfId="0" applyFont="1" applyFill="1"/>
    <xf numFmtId="17" fontId="1" fillId="7" borderId="0" xfId="0" applyNumberFormat="1" applyFont="1" applyFill="1"/>
    <xf numFmtId="0" fontId="0" fillId="7" borderId="0" xfId="0" applyFill="1"/>
    <xf numFmtId="164" fontId="1" fillId="7" borderId="0" xfId="1" applyFont="1" applyFill="1"/>
    <xf numFmtId="0" fontId="0" fillId="8" borderId="0" xfId="0" applyFill="1"/>
    <xf numFmtId="9" fontId="0" fillId="0" borderId="0" xfId="2" applyFont="1"/>
    <xf numFmtId="0" fontId="0" fillId="9" borderId="0" xfId="0" applyFill="1"/>
    <xf numFmtId="9" fontId="0" fillId="9" borderId="0" xfId="2" applyFont="1" applyFill="1"/>
    <xf numFmtId="164" fontId="0" fillId="9" borderId="0" xfId="0" applyNumberFormat="1" applyFill="1"/>
    <xf numFmtId="164" fontId="1" fillId="9" borderId="0" xfId="0" applyNumberFormat="1" applyFont="1" applyFill="1"/>
    <xf numFmtId="0" fontId="1" fillId="9" borderId="0" xfId="0" applyFont="1" applyFill="1"/>
    <xf numFmtId="9" fontId="1" fillId="9" borderId="0" xfId="2" applyFont="1" applyFill="1"/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3502-CCA2-4DC3-85BF-8431BD850725}">
  <sheetPr>
    <tabColor theme="7" tint="0.59999389629810485"/>
  </sheetPr>
  <dimension ref="B2:D48"/>
  <sheetViews>
    <sheetView topLeftCell="A15" workbookViewId="0">
      <selection activeCell="C31" sqref="C31:C37"/>
    </sheetView>
  </sheetViews>
  <sheetFormatPr defaultColWidth="11.42578125" defaultRowHeight="14.45"/>
  <cols>
    <col min="2" max="2" width="33.7109375" customWidth="1"/>
    <col min="3" max="3" width="13.7109375" customWidth="1"/>
    <col min="4" max="4" width="94" customWidth="1"/>
  </cols>
  <sheetData>
    <row r="2" spans="2:4" ht="22.9" customHeight="1">
      <c r="B2" s="2" t="s">
        <v>0</v>
      </c>
      <c r="C2" s="2" t="s">
        <v>1</v>
      </c>
      <c r="D2" s="2" t="s">
        <v>2</v>
      </c>
    </row>
    <row r="3" spans="2:4" ht="22.9" customHeight="1">
      <c r="B3" s="23" t="s">
        <v>3</v>
      </c>
      <c r="C3" s="24">
        <v>5</v>
      </c>
      <c r="D3" s="1" t="s">
        <v>4</v>
      </c>
    </row>
    <row r="4" spans="2:4" ht="22.9" customHeight="1">
      <c r="B4" s="23"/>
      <c r="C4" s="24"/>
      <c r="D4" s="5" t="s">
        <v>5</v>
      </c>
    </row>
    <row r="5" spans="2:4" ht="22.9" customHeight="1">
      <c r="B5" s="23"/>
      <c r="C5" s="24"/>
      <c r="D5" s="1" t="s">
        <v>6</v>
      </c>
    </row>
    <row r="6" spans="2:4" ht="22.9" customHeight="1">
      <c r="B6" s="23"/>
      <c r="C6" s="24"/>
      <c r="D6" s="1" t="s">
        <v>7</v>
      </c>
    </row>
    <row r="7" spans="2:4" ht="22.9" customHeight="1">
      <c r="B7" s="23" t="s">
        <v>8</v>
      </c>
      <c r="C7" s="24">
        <v>13</v>
      </c>
      <c r="D7" s="1" t="s">
        <v>9</v>
      </c>
    </row>
    <row r="8" spans="2:4" ht="22.9" customHeight="1">
      <c r="B8" s="23"/>
      <c r="C8" s="24"/>
      <c r="D8" s="5" t="s">
        <v>10</v>
      </c>
    </row>
    <row r="9" spans="2:4" ht="22.9" customHeight="1">
      <c r="B9" s="23"/>
      <c r="C9" s="24"/>
      <c r="D9" s="1" t="s">
        <v>11</v>
      </c>
    </row>
    <row r="10" spans="2:4" ht="22.9" customHeight="1">
      <c r="B10" s="23"/>
      <c r="C10" s="24"/>
      <c r="D10" s="1" t="s">
        <v>12</v>
      </c>
    </row>
    <row r="11" spans="2:4" ht="22.9" customHeight="1">
      <c r="B11" s="23"/>
      <c r="C11" s="24"/>
      <c r="D11" s="1" t="s">
        <v>13</v>
      </c>
    </row>
    <row r="12" spans="2:4" ht="22.9" customHeight="1">
      <c r="B12" s="23" t="s">
        <v>14</v>
      </c>
      <c r="C12" s="25">
        <v>12</v>
      </c>
      <c r="D12" s="1" t="s">
        <v>15</v>
      </c>
    </row>
    <row r="13" spans="2:4" ht="22.9" customHeight="1">
      <c r="B13" s="23"/>
      <c r="C13" s="26"/>
      <c r="D13" s="1" t="s">
        <v>16</v>
      </c>
    </row>
    <row r="14" spans="2:4" ht="22.9" customHeight="1">
      <c r="B14" s="23"/>
      <c r="C14" s="26"/>
      <c r="D14" s="1" t="s">
        <v>17</v>
      </c>
    </row>
    <row r="15" spans="2:4" ht="22.9" customHeight="1">
      <c r="B15" s="23"/>
      <c r="C15" s="26"/>
      <c r="D15" s="1" t="s">
        <v>18</v>
      </c>
    </row>
    <row r="16" spans="2:4" ht="22.9" customHeight="1">
      <c r="B16" s="23"/>
      <c r="C16" s="27"/>
      <c r="D16" s="1" t="s">
        <v>19</v>
      </c>
    </row>
    <row r="17" spans="2:4" ht="22.9" customHeight="1">
      <c r="B17" s="23" t="s">
        <v>20</v>
      </c>
      <c r="C17" s="25">
        <v>35</v>
      </c>
      <c r="D17" s="1" t="s">
        <v>21</v>
      </c>
    </row>
    <row r="18" spans="2:4" ht="22.9" customHeight="1">
      <c r="B18" s="23"/>
      <c r="C18" s="26"/>
      <c r="D18" s="1" t="s">
        <v>22</v>
      </c>
    </row>
    <row r="19" spans="2:4" ht="22.9" customHeight="1">
      <c r="B19" s="23"/>
      <c r="C19" s="26"/>
      <c r="D19" s="1" t="s">
        <v>23</v>
      </c>
    </row>
    <row r="20" spans="2:4" ht="22.9" customHeight="1">
      <c r="B20" s="23"/>
      <c r="C20" s="26"/>
      <c r="D20" s="1" t="s">
        <v>24</v>
      </c>
    </row>
    <row r="21" spans="2:4" ht="22.9" customHeight="1">
      <c r="B21" s="23"/>
      <c r="C21" s="26"/>
      <c r="D21" s="1" t="s">
        <v>25</v>
      </c>
    </row>
    <row r="22" spans="2:4" ht="22.9" customHeight="1">
      <c r="B22" s="23"/>
      <c r="C22" s="26"/>
      <c r="D22" s="1" t="s">
        <v>26</v>
      </c>
    </row>
    <row r="23" spans="2:4" ht="22.9" customHeight="1">
      <c r="B23" s="23" t="s">
        <v>27</v>
      </c>
      <c r="C23" s="24">
        <v>4</v>
      </c>
      <c r="D23" s="1" t="s">
        <v>28</v>
      </c>
    </row>
    <row r="24" spans="2:4" ht="22.9" customHeight="1">
      <c r="B24" s="23"/>
      <c r="C24" s="24"/>
      <c r="D24" s="1" t="s">
        <v>29</v>
      </c>
    </row>
    <row r="25" spans="2:4" ht="22.9" customHeight="1">
      <c r="B25" s="23"/>
      <c r="C25" s="24"/>
      <c r="D25" s="1" t="s">
        <v>30</v>
      </c>
    </row>
    <row r="26" spans="2:4" ht="22.9" customHeight="1">
      <c r="B26" s="23"/>
      <c r="C26" s="24"/>
      <c r="D26" s="1" t="s">
        <v>31</v>
      </c>
    </row>
    <row r="27" spans="2:4" ht="22.9" customHeight="1">
      <c r="B27" s="23" t="s">
        <v>32</v>
      </c>
      <c r="C27" s="24">
        <v>6</v>
      </c>
      <c r="D27" s="1" t="s">
        <v>33</v>
      </c>
    </row>
    <row r="28" spans="2:4" ht="22.9" customHeight="1">
      <c r="B28" s="23"/>
      <c r="C28" s="24"/>
      <c r="D28" s="1" t="s">
        <v>34</v>
      </c>
    </row>
    <row r="29" spans="2:4" ht="22.9" customHeight="1">
      <c r="B29" s="23"/>
      <c r="C29" s="24"/>
      <c r="D29" s="1" t="s">
        <v>35</v>
      </c>
    </row>
    <row r="30" spans="2:4" ht="22.9" customHeight="1">
      <c r="B30" s="23"/>
      <c r="C30" s="24"/>
      <c r="D30" s="1" t="s">
        <v>36</v>
      </c>
    </row>
    <row r="31" spans="2:4" ht="22.9" customHeight="1">
      <c r="B31" s="23" t="s">
        <v>37</v>
      </c>
      <c r="C31" s="25">
        <v>5</v>
      </c>
      <c r="D31" s="1" t="s">
        <v>38</v>
      </c>
    </row>
    <row r="32" spans="2:4" ht="22.9" customHeight="1">
      <c r="B32" s="23"/>
      <c r="C32" s="26"/>
      <c r="D32" s="1" t="s">
        <v>39</v>
      </c>
    </row>
    <row r="33" spans="2:4" ht="22.9" customHeight="1">
      <c r="B33" s="23"/>
      <c r="C33" s="26"/>
      <c r="D33" s="1" t="s">
        <v>40</v>
      </c>
    </row>
    <row r="34" spans="2:4" ht="22.9" customHeight="1">
      <c r="B34" s="23"/>
      <c r="C34" s="26"/>
      <c r="D34" s="1" t="s">
        <v>41</v>
      </c>
    </row>
    <row r="35" spans="2:4" ht="22.9" customHeight="1">
      <c r="B35" s="23"/>
      <c r="C35" s="26"/>
      <c r="D35" s="1" t="s">
        <v>42</v>
      </c>
    </row>
    <row r="36" spans="2:4" ht="22.9" customHeight="1">
      <c r="B36" s="23"/>
      <c r="C36" s="26"/>
      <c r="D36" s="1" t="s">
        <v>43</v>
      </c>
    </row>
    <row r="37" spans="2:4" ht="22.9" customHeight="1">
      <c r="B37" s="23"/>
      <c r="C37" s="27"/>
      <c r="D37" s="1" t="s">
        <v>44</v>
      </c>
    </row>
    <row r="38" spans="2:4" ht="22.9" customHeight="1">
      <c r="B38" s="23" t="s">
        <v>45</v>
      </c>
      <c r="C38" s="25">
        <v>4</v>
      </c>
      <c r="D38" s="1" t="s">
        <v>46</v>
      </c>
    </row>
    <row r="39" spans="2:4" ht="22.9" customHeight="1">
      <c r="B39" s="23"/>
      <c r="C39" s="26"/>
      <c r="D39" s="1" t="s">
        <v>47</v>
      </c>
    </row>
    <row r="40" spans="2:4" ht="22.9" customHeight="1">
      <c r="B40" s="23"/>
      <c r="C40" s="26"/>
      <c r="D40" s="1" t="s">
        <v>48</v>
      </c>
    </row>
    <row r="41" spans="2:4" ht="22.9" customHeight="1">
      <c r="B41" s="23"/>
      <c r="C41" s="26"/>
      <c r="D41" s="5" t="s">
        <v>49</v>
      </c>
    </row>
    <row r="42" spans="2:4" ht="22.9" customHeight="1">
      <c r="B42" s="23" t="s">
        <v>50</v>
      </c>
      <c r="C42" s="24">
        <v>5</v>
      </c>
      <c r="D42" s="1" t="s">
        <v>51</v>
      </c>
    </row>
    <row r="43" spans="2:4" ht="22.9" customHeight="1">
      <c r="B43" s="23"/>
      <c r="C43" s="24"/>
      <c r="D43" s="1" t="s">
        <v>52</v>
      </c>
    </row>
    <row r="44" spans="2:4" ht="22.9" customHeight="1">
      <c r="B44" s="23"/>
      <c r="C44" s="24"/>
      <c r="D44" s="1" t="s">
        <v>53</v>
      </c>
    </row>
    <row r="45" spans="2:4" ht="22.9" customHeight="1">
      <c r="B45" s="23"/>
      <c r="C45" s="24"/>
      <c r="D45" s="1" t="s">
        <v>54</v>
      </c>
    </row>
    <row r="46" spans="2:4" ht="22.9" customHeight="1">
      <c r="B46" s="23"/>
      <c r="C46" s="24"/>
      <c r="D46" s="1" t="s">
        <v>55</v>
      </c>
    </row>
    <row r="47" spans="2:4" ht="22.9" customHeight="1">
      <c r="B47" s="23"/>
      <c r="C47" s="24"/>
      <c r="D47" s="1" t="s">
        <v>56</v>
      </c>
    </row>
    <row r="48" spans="2:4">
      <c r="B48" s="3" t="s">
        <v>57</v>
      </c>
      <c r="C48" s="4">
        <f>SUM(C3:C47)</f>
        <v>89</v>
      </c>
    </row>
  </sheetData>
  <mergeCells count="18">
    <mergeCell ref="B31:B37"/>
    <mergeCell ref="C31:C37"/>
    <mergeCell ref="B38:B41"/>
    <mergeCell ref="C38:C41"/>
    <mergeCell ref="B42:B47"/>
    <mergeCell ref="C42:C47"/>
    <mergeCell ref="B17:B22"/>
    <mergeCell ref="C17:C22"/>
    <mergeCell ref="B23:B26"/>
    <mergeCell ref="C23:C26"/>
    <mergeCell ref="B27:B30"/>
    <mergeCell ref="C27:C30"/>
    <mergeCell ref="B3:B6"/>
    <mergeCell ref="C3:C6"/>
    <mergeCell ref="B7:B11"/>
    <mergeCell ref="C7:C11"/>
    <mergeCell ref="B12:B16"/>
    <mergeCell ref="C12:C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4172-2C5A-4924-BE11-B16AAB059BC6}">
  <sheetPr>
    <tabColor theme="6" tint="0.39997558519241921"/>
  </sheetPr>
  <dimension ref="B2:D97"/>
  <sheetViews>
    <sheetView topLeftCell="A21" workbookViewId="0">
      <selection activeCell="C55" sqref="C55"/>
    </sheetView>
  </sheetViews>
  <sheetFormatPr defaultColWidth="11.42578125" defaultRowHeight="14.45"/>
  <cols>
    <col min="2" max="2" width="33.28515625" customWidth="1"/>
    <col min="3" max="3" width="12.5703125" customWidth="1"/>
    <col min="4" max="4" width="113.7109375" customWidth="1"/>
  </cols>
  <sheetData>
    <row r="2" spans="2:4" ht="22.9" customHeight="1">
      <c r="B2" s="2" t="s">
        <v>0</v>
      </c>
      <c r="C2" s="2" t="s">
        <v>58</v>
      </c>
      <c r="D2" s="2" t="s">
        <v>59</v>
      </c>
    </row>
    <row r="3" spans="2:4" ht="22.9" customHeight="1">
      <c r="B3" s="28" t="s">
        <v>60</v>
      </c>
      <c r="C3" s="24">
        <v>18</v>
      </c>
      <c r="D3" s="1" t="s">
        <v>61</v>
      </c>
    </row>
    <row r="4" spans="2:4" ht="22.9" customHeight="1">
      <c r="B4" s="28"/>
      <c r="C4" s="24"/>
      <c r="D4" s="1" t="s">
        <v>62</v>
      </c>
    </row>
    <row r="5" spans="2:4" ht="22.9" customHeight="1">
      <c r="B5" s="28"/>
      <c r="C5" s="24"/>
      <c r="D5" s="1" t="s">
        <v>63</v>
      </c>
    </row>
    <row r="6" spans="2:4" ht="22.9" customHeight="1">
      <c r="B6" s="28"/>
      <c r="C6" s="24"/>
      <c r="D6" s="1" t="s">
        <v>64</v>
      </c>
    </row>
    <row r="7" spans="2:4" ht="22.9" customHeight="1">
      <c r="B7" s="28"/>
      <c r="C7" s="24"/>
      <c r="D7" s="1" t="s">
        <v>65</v>
      </c>
    </row>
    <row r="8" spans="2:4" ht="22.9" customHeight="1">
      <c r="B8" s="28"/>
      <c r="C8" s="24"/>
      <c r="D8" s="1" t="s">
        <v>66</v>
      </c>
    </row>
    <row r="9" spans="2:4" ht="22.9" customHeight="1">
      <c r="B9" s="28"/>
      <c r="C9" s="24"/>
      <c r="D9" s="1" t="s">
        <v>67</v>
      </c>
    </row>
    <row r="10" spans="2:4" ht="22.9" customHeight="1">
      <c r="B10" s="28"/>
      <c r="C10" s="24"/>
      <c r="D10" s="1" t="s">
        <v>68</v>
      </c>
    </row>
    <row r="11" spans="2:4" ht="22.9" customHeight="1">
      <c r="B11" s="28" t="s">
        <v>69</v>
      </c>
      <c r="C11" s="25">
        <v>26</v>
      </c>
      <c r="D11" s="1" t="s">
        <v>70</v>
      </c>
    </row>
    <row r="12" spans="2:4" ht="22.9" customHeight="1">
      <c r="B12" s="28"/>
      <c r="C12" s="26"/>
      <c r="D12" s="1" t="s">
        <v>71</v>
      </c>
    </row>
    <row r="13" spans="2:4" ht="22.9" customHeight="1">
      <c r="B13" s="28"/>
      <c r="C13" s="26"/>
      <c r="D13" s="1" t="s">
        <v>72</v>
      </c>
    </row>
    <row r="14" spans="2:4" ht="22.9" customHeight="1">
      <c r="B14" s="28"/>
      <c r="C14" s="26"/>
      <c r="D14" s="1" t="s">
        <v>73</v>
      </c>
    </row>
    <row r="15" spans="2:4" ht="22.9" customHeight="1">
      <c r="B15" s="28"/>
      <c r="C15" s="26"/>
      <c r="D15" s="1" t="s">
        <v>74</v>
      </c>
    </row>
    <row r="16" spans="2:4" ht="22.9" customHeight="1">
      <c r="B16" s="28"/>
      <c r="C16" s="26"/>
      <c r="D16" s="1" t="s">
        <v>75</v>
      </c>
    </row>
    <row r="17" spans="2:4" ht="22.9" customHeight="1">
      <c r="B17" s="28"/>
      <c r="C17" s="26"/>
      <c r="D17" s="1" t="s">
        <v>76</v>
      </c>
    </row>
    <row r="18" spans="2:4" ht="22.9" customHeight="1">
      <c r="B18" s="28"/>
      <c r="C18" s="26"/>
      <c r="D18" s="1" t="s">
        <v>77</v>
      </c>
    </row>
    <row r="19" spans="2:4" ht="22.9" customHeight="1">
      <c r="B19" s="28"/>
      <c r="C19" s="27"/>
      <c r="D19" s="1" t="s">
        <v>78</v>
      </c>
    </row>
    <row r="20" spans="2:4" ht="22.9" customHeight="1">
      <c r="B20" s="28" t="s">
        <v>79</v>
      </c>
      <c r="C20" s="25">
        <v>28</v>
      </c>
      <c r="D20" s="1" t="s">
        <v>80</v>
      </c>
    </row>
    <row r="21" spans="2:4" ht="22.9" customHeight="1">
      <c r="B21" s="28"/>
      <c r="C21" s="26"/>
      <c r="D21" s="1" t="s">
        <v>81</v>
      </c>
    </row>
    <row r="22" spans="2:4" ht="22.9" customHeight="1">
      <c r="B22" s="28"/>
      <c r="C22" s="26"/>
      <c r="D22" s="1" t="s">
        <v>82</v>
      </c>
    </row>
    <row r="23" spans="2:4" ht="22.9" customHeight="1">
      <c r="B23" s="28"/>
      <c r="C23" s="26"/>
      <c r="D23" s="1" t="s">
        <v>83</v>
      </c>
    </row>
    <row r="24" spans="2:4" ht="22.9" customHeight="1">
      <c r="B24" s="28"/>
      <c r="C24" s="26"/>
      <c r="D24" s="1" t="s">
        <v>84</v>
      </c>
    </row>
    <row r="25" spans="2:4" ht="22.9" customHeight="1">
      <c r="B25" s="28"/>
      <c r="C25" s="26"/>
      <c r="D25" s="1" t="s">
        <v>85</v>
      </c>
    </row>
    <row r="26" spans="2:4" ht="22.9" customHeight="1">
      <c r="B26" s="28"/>
      <c r="C26" s="26"/>
      <c r="D26" s="1" t="s">
        <v>86</v>
      </c>
    </row>
    <row r="27" spans="2:4" ht="22.9" customHeight="1">
      <c r="B27" s="28"/>
      <c r="C27" s="26"/>
      <c r="D27" s="1" t="s">
        <v>87</v>
      </c>
    </row>
    <row r="28" spans="2:4" ht="22.9" customHeight="1">
      <c r="B28" s="28"/>
      <c r="C28" s="26"/>
      <c r="D28" s="1" t="s">
        <v>88</v>
      </c>
    </row>
    <row r="29" spans="2:4" ht="22.9" customHeight="1">
      <c r="B29" s="28"/>
      <c r="C29" s="26"/>
      <c r="D29" s="1" t="s">
        <v>89</v>
      </c>
    </row>
    <row r="30" spans="2:4" ht="22.9" customHeight="1">
      <c r="B30" s="28"/>
      <c r="C30" s="26"/>
      <c r="D30" s="1" t="s">
        <v>90</v>
      </c>
    </row>
    <row r="31" spans="2:4" ht="22.9" customHeight="1">
      <c r="B31" s="28"/>
      <c r="C31" s="27"/>
      <c r="D31" s="1" t="s">
        <v>91</v>
      </c>
    </row>
    <row r="32" spans="2:4" ht="22.9" customHeight="1">
      <c r="B32" s="28" t="s">
        <v>92</v>
      </c>
      <c r="C32" s="25">
        <v>37</v>
      </c>
      <c r="D32" s="1" t="s">
        <v>93</v>
      </c>
    </row>
    <row r="33" spans="2:4" ht="22.9" customHeight="1">
      <c r="B33" s="28"/>
      <c r="C33" s="26"/>
      <c r="D33" s="1" t="s">
        <v>94</v>
      </c>
    </row>
    <row r="34" spans="2:4" ht="22.9" customHeight="1">
      <c r="B34" s="28"/>
      <c r="C34" s="26"/>
      <c r="D34" s="1" t="s">
        <v>95</v>
      </c>
    </row>
    <row r="35" spans="2:4" ht="22.9" customHeight="1">
      <c r="B35" s="28"/>
      <c r="C35" s="26"/>
      <c r="D35" s="1" t="s">
        <v>96</v>
      </c>
    </row>
    <row r="36" spans="2:4" ht="22.9" customHeight="1">
      <c r="B36" s="28"/>
      <c r="C36" s="26"/>
      <c r="D36" s="1" t="s">
        <v>97</v>
      </c>
    </row>
    <row r="37" spans="2:4" ht="22.9" customHeight="1">
      <c r="B37" s="28"/>
      <c r="C37" s="26"/>
      <c r="D37" s="1" t="s">
        <v>98</v>
      </c>
    </row>
    <row r="38" spans="2:4" ht="22.9" customHeight="1">
      <c r="B38" s="28"/>
      <c r="C38" s="26"/>
      <c r="D38" s="1" t="s">
        <v>99</v>
      </c>
    </row>
    <row r="39" spans="2:4" ht="22.9" customHeight="1">
      <c r="B39" s="28"/>
      <c r="C39" s="26"/>
      <c r="D39" s="1" t="s">
        <v>100</v>
      </c>
    </row>
    <row r="40" spans="2:4" ht="22.9" customHeight="1">
      <c r="B40" s="28"/>
      <c r="C40" s="26"/>
      <c r="D40" s="1" t="s">
        <v>101</v>
      </c>
    </row>
    <row r="41" spans="2:4" ht="22.9" customHeight="1">
      <c r="B41" s="28"/>
      <c r="C41" s="26"/>
      <c r="D41" s="1" t="s">
        <v>102</v>
      </c>
    </row>
    <row r="42" spans="2:4" ht="22.9" customHeight="1">
      <c r="B42" s="28"/>
      <c r="C42" s="26"/>
      <c r="D42" s="1" t="s">
        <v>103</v>
      </c>
    </row>
    <row r="43" spans="2:4" ht="22.9" customHeight="1">
      <c r="B43" s="28"/>
      <c r="C43" s="26"/>
      <c r="D43" s="1" t="s">
        <v>104</v>
      </c>
    </row>
    <row r="44" spans="2:4" ht="22.9" customHeight="1">
      <c r="B44" s="28"/>
      <c r="C44" s="27"/>
      <c r="D44" s="1" t="s">
        <v>105</v>
      </c>
    </row>
    <row r="45" spans="2:4" ht="24.6" customHeight="1">
      <c r="B45" s="28" t="s">
        <v>106</v>
      </c>
      <c r="C45" s="25">
        <v>15</v>
      </c>
      <c r="D45" s="1" t="s">
        <v>107</v>
      </c>
    </row>
    <row r="46" spans="2:4" ht="24.6" customHeight="1">
      <c r="B46" s="28"/>
      <c r="C46" s="26"/>
      <c r="D46" s="1" t="s">
        <v>108</v>
      </c>
    </row>
    <row r="47" spans="2:4" ht="24.6" customHeight="1">
      <c r="B47" s="28"/>
      <c r="C47" s="26"/>
      <c r="D47" s="1" t="s">
        <v>109</v>
      </c>
    </row>
    <row r="48" spans="2:4" ht="24.6" customHeight="1">
      <c r="B48" s="28"/>
      <c r="C48" s="26"/>
      <c r="D48" s="1" t="s">
        <v>110</v>
      </c>
    </row>
    <row r="49" spans="2:4" ht="24.6" customHeight="1">
      <c r="B49" s="28"/>
      <c r="C49" s="26"/>
      <c r="D49" s="1" t="s">
        <v>111</v>
      </c>
    </row>
    <row r="50" spans="2:4" ht="24.6" customHeight="1">
      <c r="B50" s="28"/>
      <c r="C50" s="26"/>
      <c r="D50" s="1" t="s">
        <v>112</v>
      </c>
    </row>
    <row r="51" spans="2:4" ht="24.6" customHeight="1">
      <c r="B51" s="28"/>
      <c r="C51" s="26"/>
      <c r="D51" s="1" t="s">
        <v>113</v>
      </c>
    </row>
    <row r="52" spans="2:4" ht="24.6" customHeight="1">
      <c r="B52" s="28"/>
      <c r="C52" s="26"/>
      <c r="D52" s="1" t="s">
        <v>114</v>
      </c>
    </row>
    <row r="53" spans="2:4" ht="24.6" customHeight="1">
      <c r="B53" s="28"/>
      <c r="C53" s="26"/>
      <c r="D53" s="1" t="s">
        <v>115</v>
      </c>
    </row>
    <row r="54" spans="2:4" ht="24.6" customHeight="1">
      <c r="B54" s="28"/>
      <c r="C54" s="27"/>
      <c r="D54" s="1" t="s">
        <v>116</v>
      </c>
    </row>
    <row r="55" spans="2:4" ht="24.6" customHeight="1">
      <c r="B55" s="28" t="s">
        <v>117</v>
      </c>
      <c r="C55" s="25">
        <v>16</v>
      </c>
      <c r="D55" s="1" t="s">
        <v>118</v>
      </c>
    </row>
    <row r="56" spans="2:4" ht="24.6" customHeight="1">
      <c r="B56" s="28"/>
      <c r="C56" s="26"/>
      <c r="D56" s="1" t="s">
        <v>119</v>
      </c>
    </row>
    <row r="57" spans="2:4" ht="24.6" customHeight="1">
      <c r="B57" s="28"/>
      <c r="C57" s="26"/>
      <c r="D57" s="1" t="s">
        <v>120</v>
      </c>
    </row>
    <row r="58" spans="2:4" ht="24.6" customHeight="1">
      <c r="B58" s="28"/>
      <c r="C58" s="26"/>
      <c r="D58" s="1" t="s">
        <v>121</v>
      </c>
    </row>
    <row r="59" spans="2:4" ht="24.6" customHeight="1">
      <c r="B59" s="28"/>
      <c r="C59" s="26"/>
      <c r="D59" s="1" t="s">
        <v>122</v>
      </c>
    </row>
    <row r="60" spans="2:4" ht="24.6" customHeight="1">
      <c r="B60" s="28"/>
      <c r="C60" s="26"/>
      <c r="D60" s="1" t="s">
        <v>123</v>
      </c>
    </row>
    <row r="61" spans="2:4" ht="24.6" customHeight="1">
      <c r="B61" s="28"/>
      <c r="C61" s="26"/>
      <c r="D61" s="1" t="s">
        <v>124</v>
      </c>
    </row>
    <row r="62" spans="2:4" ht="24.6" customHeight="1">
      <c r="B62" s="28"/>
      <c r="C62" s="26"/>
      <c r="D62" s="1" t="s">
        <v>125</v>
      </c>
    </row>
    <row r="63" spans="2:4" ht="24.6" customHeight="1">
      <c r="B63" s="28"/>
      <c r="C63" s="26"/>
      <c r="D63" s="1" t="s">
        <v>126</v>
      </c>
    </row>
    <row r="64" spans="2:4" ht="24.6" customHeight="1">
      <c r="B64" s="28"/>
      <c r="C64" s="27"/>
      <c r="D64" s="1" t="s">
        <v>127</v>
      </c>
    </row>
    <row r="65" spans="2:4" ht="24.6" customHeight="1">
      <c r="B65" s="28" t="s">
        <v>128</v>
      </c>
      <c r="C65" s="25">
        <v>18</v>
      </c>
      <c r="D65" s="1" t="s">
        <v>129</v>
      </c>
    </row>
    <row r="66" spans="2:4" ht="24.6" customHeight="1">
      <c r="B66" s="28"/>
      <c r="C66" s="26"/>
      <c r="D66" s="1" t="s">
        <v>130</v>
      </c>
    </row>
    <row r="67" spans="2:4" ht="24.6" customHeight="1">
      <c r="B67" s="28"/>
      <c r="C67" s="26"/>
      <c r="D67" s="1" t="s">
        <v>131</v>
      </c>
    </row>
    <row r="68" spans="2:4" ht="24.6" customHeight="1">
      <c r="B68" s="28"/>
      <c r="C68" s="26"/>
      <c r="D68" s="1" t="s">
        <v>132</v>
      </c>
    </row>
    <row r="69" spans="2:4" ht="24.6" customHeight="1">
      <c r="B69" s="28"/>
      <c r="C69" s="26"/>
      <c r="D69" s="1" t="s">
        <v>133</v>
      </c>
    </row>
    <row r="70" spans="2:4" ht="24.6" customHeight="1">
      <c r="B70" s="28"/>
      <c r="C70" s="26"/>
      <c r="D70" s="1" t="s">
        <v>134</v>
      </c>
    </row>
    <row r="71" spans="2:4" ht="24.6" customHeight="1">
      <c r="B71" s="28"/>
      <c r="C71" s="26"/>
      <c r="D71" s="1" t="s">
        <v>135</v>
      </c>
    </row>
    <row r="72" spans="2:4" ht="24.6" customHeight="1">
      <c r="B72" s="28"/>
      <c r="C72" s="26"/>
      <c r="D72" s="1" t="s">
        <v>136</v>
      </c>
    </row>
    <row r="73" spans="2:4" ht="24.6" customHeight="1">
      <c r="B73" s="28"/>
      <c r="C73" s="26"/>
      <c r="D73" s="1" t="s">
        <v>137</v>
      </c>
    </row>
    <row r="74" spans="2:4" ht="24.6" customHeight="1">
      <c r="B74" s="28"/>
      <c r="C74" s="26"/>
      <c r="D74" s="1" t="s">
        <v>138</v>
      </c>
    </row>
    <row r="75" spans="2:4" ht="24.6" customHeight="1">
      <c r="B75" s="28"/>
      <c r="C75" s="26"/>
      <c r="D75" s="1" t="s">
        <v>139</v>
      </c>
    </row>
    <row r="76" spans="2:4" ht="24.6" customHeight="1">
      <c r="B76" s="28"/>
      <c r="C76" s="27"/>
      <c r="D76" s="1" t="s">
        <v>140</v>
      </c>
    </row>
    <row r="77" spans="2:4" ht="24.6" customHeight="1">
      <c r="B77" s="28" t="s">
        <v>141</v>
      </c>
      <c r="C77" s="25">
        <v>10</v>
      </c>
      <c r="D77" s="1" t="s">
        <v>142</v>
      </c>
    </row>
    <row r="78" spans="2:4" ht="24.6" customHeight="1">
      <c r="B78" s="28"/>
      <c r="C78" s="26"/>
      <c r="D78" s="1" t="s">
        <v>143</v>
      </c>
    </row>
    <row r="79" spans="2:4" ht="24.6" customHeight="1">
      <c r="B79" s="28"/>
      <c r="C79" s="26"/>
      <c r="D79" s="1" t="s">
        <v>144</v>
      </c>
    </row>
    <row r="80" spans="2:4" ht="24.6" customHeight="1">
      <c r="B80" s="28"/>
      <c r="C80" s="26"/>
      <c r="D80" s="1" t="s">
        <v>145</v>
      </c>
    </row>
    <row r="81" spans="2:4" ht="24.6" customHeight="1">
      <c r="B81" s="28"/>
      <c r="C81" s="26"/>
      <c r="D81" s="1" t="s">
        <v>146</v>
      </c>
    </row>
    <row r="82" spans="2:4" ht="24.6" customHeight="1">
      <c r="B82" s="28"/>
      <c r="C82" s="26"/>
      <c r="D82" s="1" t="s">
        <v>147</v>
      </c>
    </row>
    <row r="83" spans="2:4" ht="24.6" customHeight="1">
      <c r="B83" s="28"/>
      <c r="C83" s="26"/>
      <c r="D83" s="1" t="s">
        <v>48</v>
      </c>
    </row>
    <row r="84" spans="2:4" ht="24.6" customHeight="1">
      <c r="B84" s="28"/>
      <c r="C84" s="26"/>
      <c r="D84" s="1" t="s">
        <v>148</v>
      </c>
    </row>
    <row r="85" spans="2:4" ht="24.6" customHeight="1">
      <c r="B85" s="28"/>
      <c r="C85" s="27"/>
      <c r="D85" s="1" t="s">
        <v>149</v>
      </c>
    </row>
    <row r="86" spans="2:4" ht="24.6" customHeight="1">
      <c r="B86" s="28" t="s">
        <v>150</v>
      </c>
      <c r="C86" s="25">
        <v>14</v>
      </c>
      <c r="D86" s="1" t="s">
        <v>151</v>
      </c>
    </row>
    <row r="87" spans="2:4" ht="24.6" customHeight="1">
      <c r="B87" s="28"/>
      <c r="C87" s="26"/>
      <c r="D87" s="1" t="s">
        <v>152</v>
      </c>
    </row>
    <row r="88" spans="2:4" ht="24.6" customHeight="1">
      <c r="B88" s="28"/>
      <c r="C88" s="26"/>
      <c r="D88" s="1" t="s">
        <v>153</v>
      </c>
    </row>
    <row r="89" spans="2:4" ht="24.6" customHeight="1">
      <c r="B89" s="28"/>
      <c r="C89" s="26"/>
      <c r="D89" s="1" t="s">
        <v>154</v>
      </c>
    </row>
    <row r="90" spans="2:4" ht="24.6" customHeight="1">
      <c r="B90" s="28"/>
      <c r="C90" s="26"/>
      <c r="D90" s="1" t="s">
        <v>155</v>
      </c>
    </row>
    <row r="91" spans="2:4" ht="24.6" customHeight="1">
      <c r="B91" s="28"/>
      <c r="C91" s="26"/>
      <c r="D91" s="1" t="s">
        <v>156</v>
      </c>
    </row>
    <row r="92" spans="2:4" ht="24.6" customHeight="1">
      <c r="B92" s="28"/>
      <c r="C92" s="27"/>
      <c r="D92" s="1" t="s">
        <v>157</v>
      </c>
    </row>
    <row r="93" spans="2:4" ht="24.6" customHeight="1">
      <c r="B93" s="28" t="s">
        <v>158</v>
      </c>
      <c r="C93" s="25">
        <v>8</v>
      </c>
      <c r="D93" s="1" t="s">
        <v>159</v>
      </c>
    </row>
    <row r="94" spans="2:4" ht="24.6" customHeight="1">
      <c r="B94" s="28"/>
      <c r="C94" s="26"/>
      <c r="D94" s="1" t="s">
        <v>160</v>
      </c>
    </row>
    <row r="95" spans="2:4" ht="24.6" customHeight="1">
      <c r="B95" s="28"/>
      <c r="C95" s="26"/>
      <c r="D95" s="1" t="s">
        <v>161</v>
      </c>
    </row>
    <row r="96" spans="2:4" ht="24.6" customHeight="1">
      <c r="B96" s="28"/>
      <c r="C96" s="27"/>
      <c r="D96" s="1" t="s">
        <v>162</v>
      </c>
    </row>
    <row r="97" spans="2:4" ht="24.6" customHeight="1">
      <c r="B97" s="6" t="s">
        <v>163</v>
      </c>
      <c r="C97" s="6">
        <f>SUM(C3:C96)</f>
        <v>190</v>
      </c>
      <c r="D97" s="1"/>
    </row>
  </sheetData>
  <mergeCells count="20">
    <mergeCell ref="B86:B92"/>
    <mergeCell ref="C86:C92"/>
    <mergeCell ref="B93:B96"/>
    <mergeCell ref="C93:C96"/>
    <mergeCell ref="B55:B64"/>
    <mergeCell ref="C55:C64"/>
    <mergeCell ref="B65:B76"/>
    <mergeCell ref="C65:C76"/>
    <mergeCell ref="B77:B85"/>
    <mergeCell ref="C77:C85"/>
    <mergeCell ref="B32:B44"/>
    <mergeCell ref="C32:C44"/>
    <mergeCell ref="B45:B54"/>
    <mergeCell ref="C45:C54"/>
    <mergeCell ref="B3:B10"/>
    <mergeCell ref="C3:C10"/>
    <mergeCell ref="B11:B19"/>
    <mergeCell ref="C11:C19"/>
    <mergeCell ref="B20:B31"/>
    <mergeCell ref="C20:C3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5274-2DFA-4E99-8CE9-3908256DB55C}">
  <dimension ref="A3:Q25"/>
  <sheetViews>
    <sheetView topLeftCell="A6" workbookViewId="0">
      <selection activeCell="B17" sqref="B17:B18"/>
    </sheetView>
  </sheetViews>
  <sheetFormatPr defaultColWidth="8.85546875" defaultRowHeight="14.45"/>
  <cols>
    <col min="1" max="1" width="53" customWidth="1"/>
    <col min="2" max="2" width="13" customWidth="1"/>
    <col min="3" max="10" width="8.85546875" customWidth="1"/>
    <col min="11" max="12" width="8.7109375" customWidth="1"/>
    <col min="14" max="14" width="19.42578125" customWidth="1"/>
    <col min="15" max="15" width="8.42578125" customWidth="1"/>
    <col min="16" max="16" width="12.7109375" customWidth="1"/>
  </cols>
  <sheetData>
    <row r="3" spans="1:17">
      <c r="A3" s="11" t="s">
        <v>164</v>
      </c>
      <c r="B3" s="11" t="s">
        <v>165</v>
      </c>
      <c r="C3" s="12" t="s">
        <v>166</v>
      </c>
      <c r="D3" s="12" t="s">
        <v>167</v>
      </c>
      <c r="E3" s="12" t="s">
        <v>168</v>
      </c>
      <c r="F3" s="12" t="s">
        <v>169</v>
      </c>
      <c r="G3" s="12" t="s">
        <v>170</v>
      </c>
      <c r="H3" s="12" t="s">
        <v>171</v>
      </c>
      <c r="I3" s="12" t="s">
        <v>172</v>
      </c>
      <c r="J3" s="12" t="s">
        <v>173</v>
      </c>
      <c r="K3" s="12" t="s">
        <v>174</v>
      </c>
      <c r="L3" s="12" t="s">
        <v>175</v>
      </c>
      <c r="M3" s="11" t="s">
        <v>176</v>
      </c>
      <c r="N3" s="12" t="s">
        <v>177</v>
      </c>
    </row>
    <row r="4" spans="1:17">
      <c r="A4" s="7" t="s">
        <v>178</v>
      </c>
      <c r="B4" s="8">
        <v>120</v>
      </c>
      <c r="C4" s="9"/>
      <c r="D4" s="9"/>
      <c r="E4" s="9"/>
      <c r="F4" s="9"/>
      <c r="G4" s="9"/>
      <c r="H4" s="9"/>
      <c r="I4" s="9"/>
      <c r="J4" s="9"/>
      <c r="K4" s="9"/>
      <c r="L4" s="9"/>
      <c r="M4" s="7"/>
      <c r="N4" s="7"/>
    </row>
    <row r="5" spans="1:17">
      <c r="A5" s="7" t="s">
        <v>179</v>
      </c>
      <c r="B5" s="8">
        <v>90</v>
      </c>
      <c r="C5" s="7">
        <v>2</v>
      </c>
      <c r="D5" s="7">
        <v>2</v>
      </c>
      <c r="E5" s="7">
        <v>2</v>
      </c>
      <c r="F5" s="7">
        <v>2</v>
      </c>
      <c r="G5" s="7">
        <v>2</v>
      </c>
      <c r="H5" s="7">
        <v>2</v>
      </c>
      <c r="I5" s="7">
        <v>2</v>
      </c>
      <c r="J5" s="7">
        <v>2</v>
      </c>
      <c r="K5" s="7">
        <v>2</v>
      </c>
      <c r="L5" s="7">
        <v>2</v>
      </c>
      <c r="M5" s="7">
        <f>SUM(C5:L5)</f>
        <v>20</v>
      </c>
      <c r="N5" s="10">
        <f>M5*B5*7.5</f>
        <v>13500</v>
      </c>
      <c r="P5" t="s">
        <v>180</v>
      </c>
      <c r="Q5" s="16">
        <f>M5/M8</f>
        <v>0.18181818181818182</v>
      </c>
    </row>
    <row r="6" spans="1:17">
      <c r="A6" s="7" t="s">
        <v>181</v>
      </c>
      <c r="B6" s="8">
        <v>103</v>
      </c>
      <c r="C6" s="7">
        <v>5</v>
      </c>
      <c r="D6" s="7">
        <v>5</v>
      </c>
      <c r="E6" s="7">
        <v>5</v>
      </c>
      <c r="F6" s="7">
        <v>5</v>
      </c>
      <c r="G6" s="7">
        <v>5</v>
      </c>
      <c r="H6" s="7">
        <v>5</v>
      </c>
      <c r="I6" s="7">
        <v>5</v>
      </c>
      <c r="J6" s="7">
        <v>5</v>
      </c>
      <c r="K6" s="7">
        <v>5</v>
      </c>
      <c r="L6" s="7">
        <v>5</v>
      </c>
      <c r="M6" s="7">
        <f>SUM(C6:L6)</f>
        <v>50</v>
      </c>
      <c r="N6" s="10">
        <f>M6*B6*8</f>
        <v>41200</v>
      </c>
    </row>
    <row r="7" spans="1:17">
      <c r="A7" s="7" t="s">
        <v>182</v>
      </c>
      <c r="B7" s="8">
        <v>90</v>
      </c>
      <c r="C7" s="7"/>
      <c r="D7" s="7"/>
      <c r="E7" s="7">
        <v>5</v>
      </c>
      <c r="F7" s="7">
        <v>5</v>
      </c>
      <c r="G7" s="7">
        <v>5</v>
      </c>
      <c r="H7" s="7">
        <v>5</v>
      </c>
      <c r="I7" s="7">
        <v>5</v>
      </c>
      <c r="J7" s="7">
        <v>5</v>
      </c>
      <c r="K7" s="7">
        <v>5</v>
      </c>
      <c r="L7" s="7">
        <v>5</v>
      </c>
      <c r="M7" s="7">
        <f>SUM(C7:L7)</f>
        <v>40</v>
      </c>
      <c r="N7" s="10">
        <f>M7*B7*7.5</f>
        <v>27000</v>
      </c>
    </row>
    <row r="8" spans="1:17">
      <c r="A8" s="13" t="s">
        <v>57</v>
      </c>
      <c r="B8" s="13"/>
      <c r="C8" s="13">
        <f t="shared" ref="C8:N8" si="0">SUM(C5:C7)</f>
        <v>7</v>
      </c>
      <c r="D8" s="13">
        <f t="shared" si="0"/>
        <v>7</v>
      </c>
      <c r="E8" s="13">
        <f t="shared" si="0"/>
        <v>12</v>
      </c>
      <c r="F8" s="13">
        <f t="shared" si="0"/>
        <v>12</v>
      </c>
      <c r="G8" s="13">
        <f t="shared" si="0"/>
        <v>12</v>
      </c>
      <c r="H8" s="13">
        <f t="shared" si="0"/>
        <v>12</v>
      </c>
      <c r="I8" s="13">
        <f t="shared" si="0"/>
        <v>12</v>
      </c>
      <c r="J8" s="13">
        <f t="shared" si="0"/>
        <v>12</v>
      </c>
      <c r="K8" s="13">
        <f t="shared" si="0"/>
        <v>12</v>
      </c>
      <c r="L8" s="13">
        <f>SUM(L5:L7)</f>
        <v>12</v>
      </c>
      <c r="M8" s="13">
        <f t="shared" si="0"/>
        <v>110</v>
      </c>
      <c r="N8" s="14">
        <f>SUM(N5:N7)</f>
        <v>81700</v>
      </c>
    </row>
    <row r="9" spans="1:17">
      <c r="K9" s="17" t="s">
        <v>183</v>
      </c>
      <c r="L9" s="17"/>
      <c r="M9" s="18">
        <v>0</v>
      </c>
      <c r="N9" s="19">
        <f>N8*M9</f>
        <v>0</v>
      </c>
    </row>
    <row r="10" spans="1:17">
      <c r="K10" s="17" t="s">
        <v>184</v>
      </c>
      <c r="L10" s="17"/>
      <c r="M10" s="18"/>
      <c r="N10" s="19">
        <f>N8+N9</f>
        <v>81700</v>
      </c>
    </row>
    <row r="11" spans="1:17">
      <c r="K11" s="21" t="s">
        <v>185</v>
      </c>
      <c r="L11" s="21"/>
      <c r="M11" s="22">
        <v>0.4</v>
      </c>
      <c r="N11" s="20">
        <f>N10/(1-M11)</f>
        <v>136166.66666666669</v>
      </c>
    </row>
    <row r="16" spans="1:17" ht="15">
      <c r="A16" s="12" t="s">
        <v>186</v>
      </c>
      <c r="B16" s="12"/>
      <c r="C16" s="12" t="s">
        <v>166</v>
      </c>
      <c r="D16" s="12" t="s">
        <v>167</v>
      </c>
      <c r="E16" s="12" t="s">
        <v>168</v>
      </c>
      <c r="F16" s="12" t="s">
        <v>169</v>
      </c>
      <c r="G16" s="12" t="s">
        <v>170</v>
      </c>
      <c r="H16" s="12" t="s">
        <v>171</v>
      </c>
      <c r="I16" s="12" t="s">
        <v>172</v>
      </c>
      <c r="J16" s="12" t="s">
        <v>173</v>
      </c>
      <c r="K16" s="12" t="s">
        <v>174</v>
      </c>
      <c r="L16" s="12" t="s">
        <v>175</v>
      </c>
    </row>
    <row r="17" spans="1:12">
      <c r="A17" t="s">
        <v>3</v>
      </c>
      <c r="C17" s="15"/>
    </row>
    <row r="18" spans="1:12">
      <c r="A18" t="s">
        <v>8</v>
      </c>
      <c r="D18" s="15"/>
      <c r="E18" s="15"/>
    </row>
    <row r="19" spans="1:12">
      <c r="A19" t="s">
        <v>14</v>
      </c>
      <c r="E19" s="15"/>
      <c r="F19" s="15"/>
      <c r="G19" s="15"/>
      <c r="H19" s="15"/>
    </row>
    <row r="20" spans="1:12">
      <c r="A20" t="s">
        <v>20</v>
      </c>
      <c r="G20" s="15"/>
      <c r="H20" s="15"/>
    </row>
    <row r="21" spans="1:12">
      <c r="A21" t="s">
        <v>27</v>
      </c>
      <c r="I21" s="15"/>
    </row>
    <row r="22" spans="1:12">
      <c r="A22" t="s">
        <v>32</v>
      </c>
      <c r="J22" s="15"/>
      <c r="K22" s="15"/>
    </row>
    <row r="23" spans="1:12">
      <c r="A23" t="s">
        <v>37</v>
      </c>
      <c r="K23" s="15"/>
    </row>
    <row r="24" spans="1:12">
      <c r="A24" t="s">
        <v>45</v>
      </c>
      <c r="L24" s="15"/>
    </row>
    <row r="25" spans="1:12">
      <c r="A25" t="s">
        <v>50</v>
      </c>
      <c r="L25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6C1A-04EA-4DE1-BF5C-7955C77AEF25}">
  <dimension ref="A3:T27"/>
  <sheetViews>
    <sheetView tabSelected="1" topLeftCell="A2" workbookViewId="0">
      <selection activeCell="A4" sqref="A4"/>
    </sheetView>
  </sheetViews>
  <sheetFormatPr defaultColWidth="8.85546875" defaultRowHeight="14.45"/>
  <cols>
    <col min="1" max="1" width="53" customWidth="1"/>
    <col min="2" max="2" width="13" customWidth="1"/>
    <col min="3" max="15" width="8.85546875" customWidth="1"/>
    <col min="17" max="17" width="19.42578125" customWidth="1"/>
    <col min="18" max="18" width="8.42578125" customWidth="1"/>
    <col min="19" max="19" width="12.7109375" customWidth="1"/>
  </cols>
  <sheetData>
    <row r="3" spans="1:20">
      <c r="A3" s="11" t="s">
        <v>164</v>
      </c>
      <c r="B3" s="11" t="s">
        <v>165</v>
      </c>
      <c r="C3" s="12" t="s">
        <v>166</v>
      </c>
      <c r="D3" s="12" t="s">
        <v>167</v>
      </c>
      <c r="E3" s="12" t="s">
        <v>168</v>
      </c>
      <c r="F3" s="12" t="s">
        <v>169</v>
      </c>
      <c r="G3" s="12" t="s">
        <v>170</v>
      </c>
      <c r="H3" s="12" t="s">
        <v>171</v>
      </c>
      <c r="I3" s="12" t="s">
        <v>172</v>
      </c>
      <c r="J3" s="12" t="s">
        <v>173</v>
      </c>
      <c r="K3" s="12" t="s">
        <v>174</v>
      </c>
      <c r="L3" s="12" t="s">
        <v>175</v>
      </c>
      <c r="M3" s="12" t="s">
        <v>187</v>
      </c>
      <c r="N3" s="12" t="s">
        <v>188</v>
      </c>
      <c r="O3" s="12" t="s">
        <v>189</v>
      </c>
      <c r="P3" s="11" t="s">
        <v>176</v>
      </c>
      <c r="Q3" s="12" t="s">
        <v>177</v>
      </c>
    </row>
    <row r="4" spans="1:20">
      <c r="A4" s="7" t="s">
        <v>178</v>
      </c>
      <c r="B4" s="8">
        <v>120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7"/>
      <c r="Q4" s="7"/>
    </row>
    <row r="5" spans="1:20">
      <c r="A5" s="7" t="s">
        <v>179</v>
      </c>
      <c r="B5" s="8">
        <v>90</v>
      </c>
      <c r="C5" s="7">
        <v>5</v>
      </c>
      <c r="D5" s="7">
        <v>5</v>
      </c>
      <c r="E5" s="7">
        <v>5</v>
      </c>
      <c r="F5" s="7">
        <v>5</v>
      </c>
      <c r="G5" s="7">
        <v>5</v>
      </c>
      <c r="H5" s="7">
        <v>5</v>
      </c>
      <c r="I5" s="7">
        <v>5</v>
      </c>
      <c r="J5" s="7">
        <v>5</v>
      </c>
      <c r="K5" s="7">
        <v>5</v>
      </c>
      <c r="L5" s="7">
        <v>5</v>
      </c>
      <c r="M5" s="7">
        <v>5</v>
      </c>
      <c r="N5" s="7">
        <v>5</v>
      </c>
      <c r="O5" s="7">
        <v>5</v>
      </c>
      <c r="P5" s="7">
        <f>SUM(C5:O5)</f>
        <v>65</v>
      </c>
      <c r="Q5" s="10">
        <f>P5*B5*7.5</f>
        <v>43875</v>
      </c>
      <c r="S5" t="s">
        <v>180</v>
      </c>
      <c r="T5" s="16">
        <f>P5/P9</f>
        <v>0.25</v>
      </c>
    </row>
    <row r="6" spans="1:20">
      <c r="A6" s="7" t="s">
        <v>181</v>
      </c>
      <c r="B6" s="8">
        <v>103</v>
      </c>
      <c r="C6" s="7">
        <v>5</v>
      </c>
      <c r="D6" s="7">
        <v>5</v>
      </c>
      <c r="E6" s="7">
        <v>5</v>
      </c>
      <c r="F6" s="7">
        <v>5</v>
      </c>
      <c r="G6" s="7">
        <v>5</v>
      </c>
      <c r="H6" s="7">
        <v>5</v>
      </c>
      <c r="I6" s="7">
        <v>5</v>
      </c>
      <c r="J6" s="7">
        <v>5</v>
      </c>
      <c r="K6" s="7">
        <v>5</v>
      </c>
      <c r="L6" s="7">
        <v>5</v>
      </c>
      <c r="M6" s="7">
        <v>5</v>
      </c>
      <c r="N6" s="7">
        <v>5</v>
      </c>
      <c r="O6" s="7">
        <v>5</v>
      </c>
      <c r="P6" s="7">
        <f>SUM(C6:O6)</f>
        <v>65</v>
      </c>
      <c r="Q6" s="10">
        <f>P6*B6*8</f>
        <v>53560</v>
      </c>
    </row>
    <row r="7" spans="1:20">
      <c r="A7" s="7" t="s">
        <v>182</v>
      </c>
      <c r="B7" s="8">
        <v>90</v>
      </c>
      <c r="C7" s="7">
        <v>5</v>
      </c>
      <c r="D7" s="7">
        <v>5</v>
      </c>
      <c r="E7" s="7">
        <v>5</v>
      </c>
      <c r="F7" s="7">
        <v>5</v>
      </c>
      <c r="G7" s="7">
        <v>5</v>
      </c>
      <c r="H7" s="7">
        <v>5</v>
      </c>
      <c r="I7" s="7">
        <v>5</v>
      </c>
      <c r="J7" s="7">
        <v>5</v>
      </c>
      <c r="K7" s="7">
        <v>5</v>
      </c>
      <c r="L7" s="7">
        <v>5</v>
      </c>
      <c r="M7" s="7">
        <v>5</v>
      </c>
      <c r="N7" s="7">
        <v>5</v>
      </c>
      <c r="O7" s="7">
        <v>5</v>
      </c>
      <c r="P7" s="7">
        <f>SUM(C7:O7)</f>
        <v>65</v>
      </c>
      <c r="Q7" s="10">
        <f>P7*B7*7.5</f>
        <v>43875</v>
      </c>
    </row>
    <row r="8" spans="1:20">
      <c r="A8" s="7" t="s">
        <v>190</v>
      </c>
      <c r="B8" s="8">
        <v>75</v>
      </c>
      <c r="C8" s="7">
        <v>5</v>
      </c>
      <c r="D8" s="7">
        <v>5</v>
      </c>
      <c r="E8" s="7">
        <v>5</v>
      </c>
      <c r="F8" s="7">
        <v>5</v>
      </c>
      <c r="G8" s="7">
        <v>5</v>
      </c>
      <c r="H8" s="7">
        <v>5</v>
      </c>
      <c r="I8" s="7">
        <v>5</v>
      </c>
      <c r="J8" s="7">
        <v>5</v>
      </c>
      <c r="K8" s="7">
        <v>5</v>
      </c>
      <c r="L8" s="7">
        <v>5</v>
      </c>
      <c r="M8" s="7">
        <v>5</v>
      </c>
      <c r="N8" s="7">
        <v>5</v>
      </c>
      <c r="O8" s="7">
        <v>5</v>
      </c>
      <c r="P8" s="7">
        <f>SUM(C8:O8)</f>
        <v>65</v>
      </c>
      <c r="Q8" s="10">
        <f>P8*B8*7.5</f>
        <v>36562.5</v>
      </c>
    </row>
    <row r="9" spans="1:20">
      <c r="A9" s="13" t="s">
        <v>57</v>
      </c>
      <c r="B9" s="13"/>
      <c r="C9" s="13">
        <f>SUM(C5:C8)</f>
        <v>20</v>
      </c>
      <c r="D9" s="13">
        <f>SUM(D5:D8)</f>
        <v>20</v>
      </c>
      <c r="E9" s="13">
        <f>SUM(E5:E8)</f>
        <v>20</v>
      </c>
      <c r="F9" s="13">
        <f>SUM(F5:F8)</f>
        <v>20</v>
      </c>
      <c r="G9" s="13">
        <f>SUM(G5:G8)</f>
        <v>20</v>
      </c>
      <c r="H9" s="13">
        <f>SUM(H5:H8)</f>
        <v>20</v>
      </c>
      <c r="I9" s="13">
        <f>SUM(I5:I8)</f>
        <v>20</v>
      </c>
      <c r="J9" s="13">
        <f>SUM(J5:J8)</f>
        <v>20</v>
      </c>
      <c r="K9" s="13">
        <f>SUM(K5:K8)</f>
        <v>20</v>
      </c>
      <c r="L9" s="13">
        <f>SUM(L5:L8)</f>
        <v>20</v>
      </c>
      <c r="M9" s="13">
        <f>SUM(M5:M8)</f>
        <v>20</v>
      </c>
      <c r="N9" s="13">
        <f>SUM(N5:N8)</f>
        <v>20</v>
      </c>
      <c r="O9" s="13">
        <f>SUM(O5:O8)</f>
        <v>20</v>
      </c>
      <c r="P9" s="13">
        <f>SUM(P5:P8)</f>
        <v>260</v>
      </c>
      <c r="Q9" s="14">
        <f>SUM(Q5:Q8)</f>
        <v>177872.5</v>
      </c>
    </row>
    <row r="10" spans="1:20">
      <c r="K10" s="17" t="s">
        <v>183</v>
      </c>
      <c r="L10" s="17"/>
      <c r="M10" s="17"/>
      <c r="N10" s="17"/>
      <c r="O10" s="17"/>
      <c r="P10" s="18">
        <v>0</v>
      </c>
      <c r="Q10" s="19">
        <f>Q9*P10</f>
        <v>0</v>
      </c>
    </row>
    <row r="11" spans="1:20">
      <c r="K11" s="17" t="s">
        <v>184</v>
      </c>
      <c r="L11" s="17"/>
      <c r="M11" s="17"/>
      <c r="N11" s="17"/>
      <c r="O11" s="17"/>
      <c r="P11" s="18"/>
      <c r="Q11" s="19">
        <f>Q9+Q10</f>
        <v>177872.5</v>
      </c>
    </row>
    <row r="12" spans="1:20">
      <c r="K12" s="21" t="s">
        <v>185</v>
      </c>
      <c r="L12" s="21"/>
      <c r="M12" s="21"/>
      <c r="N12" s="21"/>
      <c r="O12" s="21"/>
      <c r="P12" s="22">
        <v>0.4</v>
      </c>
      <c r="Q12" s="20">
        <f>Q11/(1-P12)</f>
        <v>296454.16666666669</v>
      </c>
    </row>
    <row r="17" spans="1:15" ht="15">
      <c r="A17" s="12" t="s">
        <v>186</v>
      </c>
      <c r="B17" s="12"/>
      <c r="C17" s="12" t="s">
        <v>166</v>
      </c>
      <c r="D17" s="12" t="s">
        <v>167</v>
      </c>
      <c r="E17" s="12" t="s">
        <v>168</v>
      </c>
      <c r="F17" s="12" t="s">
        <v>169</v>
      </c>
      <c r="G17" s="12" t="s">
        <v>170</v>
      </c>
      <c r="H17" s="12" t="s">
        <v>171</v>
      </c>
      <c r="I17" s="12" t="s">
        <v>172</v>
      </c>
      <c r="J17" s="12" t="s">
        <v>173</v>
      </c>
      <c r="K17" s="12" t="s">
        <v>174</v>
      </c>
      <c r="L17" s="12" t="s">
        <v>175</v>
      </c>
      <c r="M17" s="12" t="s">
        <v>187</v>
      </c>
      <c r="N17" s="12" t="s">
        <v>188</v>
      </c>
      <c r="O17" s="12" t="s">
        <v>189</v>
      </c>
    </row>
    <row r="18" spans="1:15" ht="14.65" customHeight="1">
      <c r="A18" t="s">
        <v>60</v>
      </c>
      <c r="C18" s="15"/>
      <c r="D18" s="15"/>
    </row>
    <row r="19" spans="1:15">
      <c r="A19" t="s">
        <v>69</v>
      </c>
      <c r="D19" s="15"/>
      <c r="E19" s="15"/>
      <c r="F19" s="15"/>
    </row>
    <row r="20" spans="1:15">
      <c r="A20" t="s">
        <v>79</v>
      </c>
      <c r="E20" s="15"/>
      <c r="F20" s="15"/>
      <c r="G20" s="15"/>
      <c r="H20" s="15"/>
      <c r="I20" s="15"/>
      <c r="J20" s="15"/>
      <c r="K20" s="15"/>
    </row>
    <row r="21" spans="1:15">
      <c r="A21" t="s">
        <v>92</v>
      </c>
      <c r="E21" s="15"/>
      <c r="F21" s="15"/>
      <c r="G21" s="15"/>
      <c r="H21" s="15"/>
      <c r="I21" s="15"/>
      <c r="J21" s="15"/>
      <c r="K21" s="15"/>
    </row>
    <row r="22" spans="1:15">
      <c r="A22" t="s">
        <v>106</v>
      </c>
      <c r="E22" s="15"/>
      <c r="F22" s="15"/>
      <c r="G22" s="15"/>
      <c r="H22" s="15"/>
      <c r="I22" s="15"/>
      <c r="J22" s="15"/>
      <c r="K22" s="15"/>
    </row>
    <row r="23" spans="1:15">
      <c r="A23" t="s">
        <v>117</v>
      </c>
      <c r="K23" s="15"/>
      <c r="L23" s="15"/>
    </row>
    <row r="24" spans="1:15">
      <c r="A24" t="s">
        <v>128</v>
      </c>
      <c r="L24" s="15"/>
      <c r="M24" s="15"/>
    </row>
    <row r="25" spans="1:15">
      <c r="A25" t="s">
        <v>141</v>
      </c>
      <c r="N25" s="15"/>
    </row>
    <row r="26" spans="1:15">
      <c r="A26" t="s">
        <v>150</v>
      </c>
      <c r="N26" s="15"/>
      <c r="O26" s="15"/>
    </row>
    <row r="27" spans="1:15">
      <c r="A27" t="s">
        <v>158</v>
      </c>
      <c r="N27" s="15"/>
      <c r="O27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DF0BAB972FAF4D8D4EE07DBF816C2E" ma:contentTypeVersion="16" ma:contentTypeDescription="Create a new document." ma:contentTypeScope="" ma:versionID="5e0c0e38a9f51f2fb09923f7caf10497">
  <xsd:schema xmlns:xsd="http://www.w3.org/2001/XMLSchema" xmlns:xs="http://www.w3.org/2001/XMLSchema" xmlns:p="http://schemas.microsoft.com/office/2006/metadata/properties" xmlns:ns2="fc96b41f-6a9b-4ee5-a80d-8f5923e491f1" xmlns:ns3="33096178-1117-42b5-ada3-3984a19b49b1" targetNamespace="http://schemas.microsoft.com/office/2006/metadata/properties" ma:root="true" ma:fieldsID="c66741f9d5af52563d508b8b3e160acc" ns2:_="" ns3:_="">
    <xsd:import namespace="fc96b41f-6a9b-4ee5-a80d-8f5923e491f1"/>
    <xsd:import namespace="33096178-1117-42b5-ada3-3984a19b49b1"/>
    <xsd:element name="properties">
      <xsd:complexType>
        <xsd:sequence>
          <xsd:element name="documentManagement">
            <xsd:complexType>
              <xsd:all>
                <xsd:element ref="ns2:Statutdudocument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FiscalYea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96b41f-6a9b-4ee5-a80d-8f5923e491f1" elementFormDefault="qualified">
    <xsd:import namespace="http://schemas.microsoft.com/office/2006/documentManagement/types"/>
    <xsd:import namespace="http://schemas.microsoft.com/office/infopath/2007/PartnerControls"/>
    <xsd:element name="Statutdudocument" ma:index="8" nillable="true" ma:displayName="Statut du document" ma:format="Dropdown" ma:internalName="Statutdudocument">
      <xsd:simpleType>
        <xsd:restriction base="dms:Choice">
          <xsd:enumeration value="Actif"/>
          <xsd:enumeration value="Inactif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iscalYear" ma:index="12" nillable="true" ma:displayName="Fiscal Year" ma:default="FY2027" ma:format="Dropdown" ma:internalName="FiscalYear">
      <xsd:simpleType>
        <xsd:restriction base="dms:Choice">
          <xsd:enumeration value="FY2022"/>
          <xsd:enumeration value="FY2023"/>
          <xsd:enumeration value="FY2024"/>
          <xsd:enumeration value="FY2025"/>
          <xsd:enumeration value="FY2026"/>
          <xsd:enumeration value="FY2027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55bf7c4-1c5d-4d4a-9c64-4c52f96302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96178-1117-42b5-ada3-3984a19b49b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fd31cd2-6f13-4812-ba3f-58a061d1d2fa}" ma:internalName="TaxCatchAll" ma:showField="CatchAllData" ma:web="33096178-1117-42b5-ada3-3984a19b49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96b41f-6a9b-4ee5-a80d-8f5923e491f1">
      <Terms xmlns="http://schemas.microsoft.com/office/infopath/2007/PartnerControls"/>
    </lcf76f155ced4ddcb4097134ff3c332f>
    <TaxCatchAll xmlns="33096178-1117-42b5-ada3-3984a19b49b1" xsi:nil="true"/>
    <_Flow_SignoffStatus xmlns="fc96b41f-6a9b-4ee5-a80d-8f5923e491f1" xsi:nil="true"/>
    <FiscalYear xmlns="fc96b41f-6a9b-4ee5-a80d-8f5923e491f1">FY2026</FiscalYear>
    <Statutdudocument xmlns="fc96b41f-6a9b-4ee5-a80d-8f5923e491f1" xsi:nil="true"/>
  </documentManagement>
</p:properties>
</file>

<file path=customXml/itemProps1.xml><?xml version="1.0" encoding="utf-8"?>
<ds:datastoreItem xmlns:ds="http://schemas.openxmlformats.org/officeDocument/2006/customXml" ds:itemID="{18A3D408-87E4-41AE-8E94-2C9FC1CA64C1}"/>
</file>

<file path=customXml/itemProps2.xml><?xml version="1.0" encoding="utf-8"?>
<ds:datastoreItem xmlns:ds="http://schemas.openxmlformats.org/officeDocument/2006/customXml" ds:itemID="{9BE910AF-580A-46F0-9B81-BD477416DA3C}"/>
</file>

<file path=customXml/itemProps3.xml><?xml version="1.0" encoding="utf-8"?>
<ds:datastoreItem xmlns:ds="http://schemas.openxmlformats.org/officeDocument/2006/customXml" ds:itemID="{7584B563-8CF2-4595-AC3B-4D6D97A493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Alithya Canada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Nizar Ajroud</dc:creator>
  <cp:keywords/>
  <dc:description/>
  <cp:lastModifiedBy>Hadrian Moraz</cp:lastModifiedBy>
  <cp:revision/>
  <dcterms:created xsi:type="dcterms:W3CDTF">2026-01-14T01:58:41Z</dcterms:created>
  <dcterms:modified xsi:type="dcterms:W3CDTF">2026-02-04T14:51:43Z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0x010100A1DF0BAB972FAF4D8D4EE07DBF816C2E</vt:lpwstr>
  </property>
  <property fmtid="{D5CDD505-2E9C-101B-9397-08002B2CF9AE}" pid="3" name="MediaServiceImageTags">
    <vt:lpwstr/>
  </property>
</Properties>
</file>